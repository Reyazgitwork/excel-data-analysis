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dd00d11e4b1d75ae/Documents/"/>
    </mc:Choice>
  </mc:AlternateContent>
  <xr:revisionPtr revIDLastSave="39" documentId="8_{EAA1A7D8-C61C-416A-8ECE-2334BB24DBAF}" xr6:coauthVersionLast="47" xr6:coauthVersionMax="47" xr10:uidLastSave="{B8BB7750-B5F3-4D0E-9DAC-F82C7D18FD0D}"/>
  <bookViews>
    <workbookView xWindow="-108" yWindow="-108" windowWidth="23256" windowHeight="13176" activeTab="3" xr2:uid="{CB0B99DD-5B95-4616-80EB-19FED85E5759}"/>
  </bookViews>
  <sheets>
    <sheet name=" pivot table" sheetId="6" r:id="rId1"/>
    <sheet name="pivot table 2" sheetId="14" r:id="rId2"/>
    <sheet name="data" sheetId="1" r:id="rId3"/>
    <sheet name="dashboard" sheetId="2" r:id="rId4"/>
    <sheet name="pivot" sheetId="4" r:id="rId5"/>
  </sheets>
  <definedNames>
    <definedName name="_xlcn.WorksheetConnection_sales_dashboard.xlsxTable21" hidden="1">Table2[]</definedName>
    <definedName name="SalesData">Table2[]</definedName>
    <definedName name="Slicer_Region">#N/A</definedName>
  </definedNames>
  <calcPr calcId="191029"/>
  <pivotCaches>
    <pivotCache cacheId="45" r:id="rId6"/>
    <pivotCache cacheId="138" r:id="rId7"/>
  </pivotCaches>
  <extLst>
    <ext xmlns:x14="http://schemas.microsoft.com/office/spreadsheetml/2009/9/main" uri="{876F7934-8845-4945-9796-88D515C7AA90}">
      <x14:pivotCaches>
        <pivotCache cacheId="10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sales_dashboard.xlsx!Table2"/>
        </x15:modelTables>
        <x15:extLst>
          <ext xmlns:x16="http://schemas.microsoft.com/office/spreadsheetml/2014/11/main" uri="{9835A34E-60A6-4A7C-AAB8-D5F71C897F49}">
            <x16:modelTimeGroupings>
              <x16:modelTimeGrouping tableName="Table2" columnName="orderid2" columnId="orderid2">
                <x16:calculatedTimeColumn columnName="orderid2 (Month Index)" columnId="orderid2 (Month Index)" contentType="monthsindex" isSelected="1"/>
                <x16:calculatedTimeColumn columnName="orderid2 (Month)" columnId="orderid2 (Month)" contentType="months" isSelected="1"/>
              </x16:modelTimeGrouping>
            </x16:modelTimeGroupings>
          </ext>
        </x15:extLst>
      </x15:dataModel>
    </ext>
  </extLst>
</workbook>
</file>

<file path=xl/calcChain.xml><?xml version="1.0" encoding="utf-8"?>
<calcChain xmlns="http://schemas.openxmlformats.org/spreadsheetml/2006/main">
  <c r="E4" i="2" l="1"/>
  <c r="C4" i="2"/>
  <c r="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64AF0E-5322-48C6-86D4-5694E95D67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B13369-5DC6-439A-8B7B-C9F5EFF42CC6}" name="WorksheetConnection_sales_dashboard.xlsx!Table2" type="102" refreshedVersion="8" minRefreshableVersion="5">
    <extLst>
      <ext xmlns:x15="http://schemas.microsoft.com/office/spreadsheetml/2010/11/main" uri="{DE250136-89BD-433C-8126-D09CA5730AF9}">
        <x15:connection id="Table2" autoDelete="1">
          <x15:rangePr sourceName="_xlcn.WorksheetConnection_sales_dashboard.xlsxTable21"/>
        </x15:connection>
      </ext>
    </extLst>
  </connection>
</connections>
</file>

<file path=xl/sharedStrings.xml><?xml version="1.0" encoding="utf-8"?>
<sst xmlns="http://schemas.openxmlformats.org/spreadsheetml/2006/main" count="78" uniqueCount="33">
  <si>
    <t>OrderID</t>
  </si>
  <si>
    <t>Customer</t>
  </si>
  <si>
    <t>Region</t>
  </si>
  <si>
    <t>Category</t>
  </si>
  <si>
    <t>Sales</t>
  </si>
  <si>
    <t>Asha</t>
  </si>
  <si>
    <t>North</t>
  </si>
  <si>
    <t>Electronics</t>
  </si>
  <si>
    <t>Ravi</t>
  </si>
  <si>
    <t>South</t>
  </si>
  <si>
    <t>Furniture</t>
  </si>
  <si>
    <t>Meera</t>
  </si>
  <si>
    <t>East</t>
  </si>
  <si>
    <t>Arjun</t>
  </si>
  <si>
    <t>Clothing</t>
  </si>
  <si>
    <t>Priya</t>
  </si>
  <si>
    <t>West</t>
  </si>
  <si>
    <t>Sahil</t>
  </si>
  <si>
    <t>Kiran</t>
  </si>
  <si>
    <t>Row Labels</t>
  </si>
  <si>
    <t>Sum of Sales</t>
  </si>
  <si>
    <t>Grand Total</t>
  </si>
  <si>
    <t>SALES DASHBOARD</t>
  </si>
  <si>
    <t>Total Sales</t>
  </si>
  <si>
    <t>Total Orders</t>
  </si>
  <si>
    <t>Avg Order Value</t>
  </si>
  <si>
    <t>Top Region</t>
  </si>
  <si>
    <t>orderid2</t>
  </si>
  <si>
    <t>Jan</t>
  </si>
  <si>
    <t>Feb</t>
  </si>
  <si>
    <t>Apr</t>
  </si>
  <si>
    <t>May</t>
  </si>
  <si>
    <t>North region contributes the highest revenue, and overall revenue shows strong growth toward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</si>
</sst>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14009]dd/mm/yy;@"/>
    <numFmt numFmtId="165" formatCode="[$-14009]dd/mm/yyyy;@"/>
    <numFmt numFmtId="167" formatCode="[$-409]d/mmm/yy;@"/>
  </numFmts>
  <fonts count="6" x14ac:knownFonts="1">
    <font>
      <sz val="11"/>
      <color theme="1"/>
      <name val="Calibri"/>
      <family val="2"/>
      <scheme val="minor"/>
    </font>
    <font>
      <sz val="11"/>
      <color theme="1"/>
      <name val="Calibri"/>
      <family val="2"/>
      <scheme val="minor"/>
    </font>
    <font>
      <b/>
      <sz val="18"/>
      <color theme="1"/>
      <name val="Calibri"/>
      <family val="2"/>
      <scheme val="minor"/>
    </font>
    <font>
      <b/>
      <sz val="18"/>
      <color theme="5" tint="-0.249977111117893"/>
      <name val="Calibri"/>
      <family val="2"/>
      <scheme val="minor"/>
    </font>
    <font>
      <b/>
      <sz val="18"/>
      <color theme="4" tint="-0.249977111117893"/>
      <name val="Calibri"/>
      <family val="2"/>
      <scheme val="minor"/>
    </font>
    <font>
      <b/>
      <sz val="16"/>
      <color theme="0" tint="-0.49998474074526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horizontal="center" vertical="center"/>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vertical="center" indent="3"/>
    </xf>
    <xf numFmtId="0" fontId="0" fillId="0" borderId="0" xfId="0" applyNumberFormat="1"/>
    <xf numFmtId="14" fontId="0" fillId="0" borderId="0" xfId="0" applyNumberFormat="1" applyAlignment="1">
      <alignment horizontal="left" indent="1"/>
    </xf>
    <xf numFmtId="167" fontId="0" fillId="0" borderId="0" xfId="0" applyNumberFormat="1" applyAlignment="1">
      <alignment horizontal="center" vertical="center"/>
    </xf>
    <xf numFmtId="167" fontId="0" fillId="0" borderId="0" xfId="0" applyNumberFormat="1"/>
    <xf numFmtId="0" fontId="3" fillId="0" borderId="0" xfId="0" applyFont="1" applyAlignment="1">
      <alignment horizontal="center"/>
    </xf>
    <xf numFmtId="43" fontId="3" fillId="0" borderId="0" xfId="1" applyNumberFormat="1" applyFont="1" applyAlignment="1">
      <alignment horizontal="center"/>
    </xf>
    <xf numFmtId="0" fontId="4" fillId="0" borderId="0" xfId="0" applyFont="1"/>
    <xf numFmtId="0" fontId="5" fillId="0" borderId="0" xfId="0" applyFont="1"/>
  </cellXfs>
  <cellStyles count="2">
    <cellStyle name="Currency" xfId="1" builtinId="4"/>
    <cellStyle name="Normal" xfId="0" builtinId="0"/>
  </cellStyles>
  <dxfs count="8">
    <dxf>
      <numFmt numFmtId="167" formatCode="[$-409]d/mmm/yy;@"/>
      <alignment horizontal="center" vertical="center" textRotation="0" wrapText="0" indent="0"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3150</c:v>
                </c:pt>
                <c:pt idx="1">
                  <c:v>6500</c:v>
                </c:pt>
                <c:pt idx="2">
                  <c:v>4150</c:v>
                </c:pt>
                <c:pt idx="3">
                  <c:v>4000</c:v>
                </c:pt>
              </c:numCache>
            </c:numRef>
          </c:val>
          <c:extLst>
            <c:ext xmlns:c16="http://schemas.microsoft.com/office/drawing/2014/chart" uri="{C3380CC4-5D6E-409C-BE32-E72D297353CC}">
              <c16:uniqueId val="{00000000-1F91-4CA0-9E95-2CF63E4F245E}"/>
            </c:ext>
          </c:extLst>
        </c:ser>
        <c:dLbls>
          <c:showLegendKey val="0"/>
          <c:showVal val="0"/>
          <c:showCatName val="0"/>
          <c:showSerName val="0"/>
          <c:showPercent val="0"/>
          <c:showBubbleSize val="0"/>
        </c:dLbls>
        <c:gapWidth val="219"/>
        <c:overlap val="-27"/>
        <c:axId val="552341487"/>
        <c:axId val="552345807"/>
      </c:barChart>
      <c:catAx>
        <c:axId val="55234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45807"/>
        <c:crosses val="autoZero"/>
        <c:auto val="1"/>
        <c:lblAlgn val="ctr"/>
        <c:lblOffset val="100"/>
        <c:noMultiLvlLbl val="0"/>
      </c:catAx>
      <c:valAx>
        <c:axId val="55234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4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 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table'!$B$3</c:f>
              <c:strCache>
                <c:ptCount val="1"/>
                <c:pt idx="0">
                  <c:v>Total</c:v>
                </c:pt>
              </c:strCache>
            </c:strRef>
          </c:tx>
          <c:spPr>
            <a:solidFill>
              <a:schemeClr val="accent1"/>
            </a:solidFill>
            <a:ln>
              <a:noFill/>
            </a:ln>
            <a:effectLst/>
          </c:spPr>
          <c:invertIfNegative val="0"/>
          <c:cat>
            <c:strRef>
              <c:f>' pivot table'!$A$4:$A$7</c:f>
              <c:strCache>
                <c:ptCount val="3"/>
                <c:pt idx="0">
                  <c:v>Clothing</c:v>
                </c:pt>
                <c:pt idx="1">
                  <c:v>Electronics</c:v>
                </c:pt>
                <c:pt idx="2">
                  <c:v>Furniture</c:v>
                </c:pt>
              </c:strCache>
            </c:strRef>
          </c:cat>
          <c:val>
            <c:numRef>
              <c:f>' pivot table'!$B$4:$B$7</c:f>
              <c:numCache>
                <c:formatCode>General</c:formatCode>
                <c:ptCount val="3"/>
                <c:pt idx="0">
                  <c:v>3150</c:v>
                </c:pt>
                <c:pt idx="1">
                  <c:v>9100</c:v>
                </c:pt>
                <c:pt idx="2">
                  <c:v>5550</c:v>
                </c:pt>
              </c:numCache>
            </c:numRef>
          </c:val>
          <c:extLst>
            <c:ext xmlns:c16="http://schemas.microsoft.com/office/drawing/2014/chart" uri="{C3380CC4-5D6E-409C-BE32-E72D297353CC}">
              <c16:uniqueId val="{00000000-1229-4E38-8682-687B6C493E6D}"/>
            </c:ext>
          </c:extLst>
        </c:ser>
        <c:dLbls>
          <c:showLegendKey val="0"/>
          <c:showVal val="0"/>
          <c:showCatName val="0"/>
          <c:showSerName val="0"/>
          <c:showPercent val="0"/>
          <c:showBubbleSize val="0"/>
        </c:dLbls>
        <c:gapWidth val="182"/>
        <c:axId val="576307999"/>
        <c:axId val="576310879"/>
      </c:barChart>
      <c:catAx>
        <c:axId val="57630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10879"/>
        <c:crosses val="autoZero"/>
        <c:auto val="1"/>
        <c:lblAlgn val="ctr"/>
        <c:lblOffset val="100"/>
        <c:noMultiLvlLbl val="0"/>
      </c:catAx>
      <c:valAx>
        <c:axId val="57631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0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 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 – 2024</a:t>
            </a:r>
          </a:p>
        </c:rich>
      </c:tx>
      <c:layout>
        <c:manualLayout>
          <c:xMode val="edge"/>
          <c:yMode val="edge"/>
          <c:x val="0.32854223686605971"/>
          <c:y val="2.528962417856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2'!$B$3</c:f>
              <c:strCache>
                <c:ptCount val="1"/>
                <c:pt idx="0">
                  <c:v>Total</c:v>
                </c:pt>
              </c:strCache>
            </c:strRef>
          </c:tx>
          <c:spPr>
            <a:ln w="28575" cap="rnd">
              <a:solidFill>
                <a:schemeClr val="accent1"/>
              </a:solidFill>
              <a:round/>
            </a:ln>
            <a:effectLst/>
          </c:spPr>
          <c:marker>
            <c:symbol val="none"/>
          </c:marker>
          <c:cat>
            <c:multiLvlStrRef>
              <c:f>'pivot table 2'!$A$4:$A$9</c:f>
              <c:multiLvlStrCache>
                <c:ptCount val="4"/>
                <c:lvl>
                  <c:pt idx="0">
                    <c:v>08-01-2024</c:v>
                  </c:pt>
                </c:lvl>
                <c:lvl>
                  <c:pt idx="0">
                    <c:v>Jan</c:v>
                  </c:pt>
                  <c:pt idx="1">
                    <c:v>Feb</c:v>
                  </c:pt>
                  <c:pt idx="2">
                    <c:v>Apr</c:v>
                  </c:pt>
                  <c:pt idx="3">
                    <c:v>May</c:v>
                  </c:pt>
                </c:lvl>
              </c:multiLvlStrCache>
            </c:multiLvlStrRef>
          </c:cat>
          <c:val>
            <c:numRef>
              <c:f>'pivot table 2'!$B$4:$B$9</c:f>
              <c:numCache>
                <c:formatCode>General</c:formatCode>
                <c:ptCount val="4"/>
                <c:pt idx="0">
                  <c:v>1200</c:v>
                </c:pt>
                <c:pt idx="1">
                  <c:v>600</c:v>
                </c:pt>
                <c:pt idx="2">
                  <c:v>1300</c:v>
                </c:pt>
                <c:pt idx="3">
                  <c:v>3400</c:v>
                </c:pt>
              </c:numCache>
            </c:numRef>
          </c:val>
          <c:smooth val="0"/>
          <c:extLst>
            <c:ext xmlns:c16="http://schemas.microsoft.com/office/drawing/2014/chart" uri="{C3380CC4-5D6E-409C-BE32-E72D297353CC}">
              <c16:uniqueId val="{00000000-A4EF-4291-9459-B0B9AD567264}"/>
            </c:ext>
          </c:extLst>
        </c:ser>
        <c:dLbls>
          <c:showLegendKey val="0"/>
          <c:showVal val="0"/>
          <c:showCatName val="0"/>
          <c:showSerName val="0"/>
          <c:showPercent val="0"/>
          <c:showBubbleSize val="0"/>
        </c:dLbls>
        <c:smooth val="0"/>
        <c:axId val="1095058655"/>
        <c:axId val="1095059135"/>
      </c:lineChart>
      <c:catAx>
        <c:axId val="109505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59135"/>
        <c:crosses val="autoZero"/>
        <c:auto val="1"/>
        <c:lblAlgn val="ctr"/>
        <c:lblOffset val="100"/>
        <c:noMultiLvlLbl val="0"/>
      </c:catAx>
      <c:valAx>
        <c:axId val="109505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5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91439</xdr:rowOff>
    </xdr:from>
    <xdr:to>
      <xdr:col>8</xdr:col>
      <xdr:colOff>479322</xdr:colOff>
      <xdr:row>29</xdr:row>
      <xdr:rowOff>36871</xdr:rowOff>
    </xdr:to>
    <xdr:graphicFrame macro="">
      <xdr:nvGraphicFramePr>
        <xdr:cNvPr id="2" name="Chart 1">
          <a:extLst>
            <a:ext uri="{FF2B5EF4-FFF2-40B4-BE49-F238E27FC236}">
              <a16:creationId xmlns:a16="http://schemas.microsoft.com/office/drawing/2014/main" id="{566F8D38-6E13-49E4-A4A2-D1773CB44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725130</xdr:colOff>
      <xdr:row>7</xdr:row>
      <xdr:rowOff>12290</xdr:rowOff>
    </xdr:from>
    <xdr:to>
      <xdr:col>20</xdr:col>
      <xdr:colOff>148222</xdr:colOff>
      <xdr:row>29</xdr:row>
      <xdr:rowOff>24580</xdr:rowOff>
    </xdr:to>
    <xdr:graphicFrame macro="">
      <xdr:nvGraphicFramePr>
        <xdr:cNvPr id="3" name="Chart 2">
          <a:extLst>
            <a:ext uri="{FF2B5EF4-FFF2-40B4-BE49-F238E27FC236}">
              <a16:creationId xmlns:a16="http://schemas.microsoft.com/office/drawing/2014/main" id="{A9C5BE35-3D94-4DBA-8758-45D7F57A4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443680</xdr:colOff>
      <xdr:row>21</xdr:row>
      <xdr:rowOff>0</xdr:rowOff>
    </xdr:from>
    <xdr:to>
      <xdr:col>32</xdr:col>
      <xdr:colOff>221225</xdr:colOff>
      <xdr:row>41</xdr:row>
      <xdr:rowOff>245806</xdr:rowOff>
    </xdr:to>
    <xdr:graphicFrame macro="">
      <xdr:nvGraphicFramePr>
        <xdr:cNvPr id="4" name="Chart 3">
          <a:extLst>
            <a:ext uri="{FF2B5EF4-FFF2-40B4-BE49-F238E27FC236}">
              <a16:creationId xmlns:a16="http://schemas.microsoft.com/office/drawing/2014/main" id="{BCC8C1E0-9663-4EB4-838F-8AFA6B7DE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418853</xdr:colOff>
      <xdr:row>5</xdr:row>
      <xdr:rowOff>20156</xdr:rowOff>
    </xdr:from>
    <xdr:to>
      <xdr:col>26</xdr:col>
      <xdr:colOff>546755</xdr:colOff>
      <xdr:row>18</xdr:row>
      <xdr:rowOff>44491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A25D1B1-6EA6-42A3-8E24-DE338E7DDE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968541" y="1270312"/>
              <a:ext cx="1949558" cy="2346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 MOHAMMAD REYAZ" refreshedDate="46082.608614814817" createdVersion="8" refreshedVersion="8" minRefreshableVersion="3" recordCount="15" xr:uid="{BB11C606-1ABA-4225-B2D2-CC3C4BA04F06}">
  <cacheSource type="worksheet">
    <worksheetSource name="Table2"/>
  </cacheSource>
  <cacheFields count="6">
    <cacheField name="OrderID" numFmtId="0">
      <sharedItems containsSemiMixedTypes="0" containsString="0" containsNumber="1" containsInteger="1" minValue="1001" maxValue="1015"/>
    </cacheField>
    <cacheField name="OrderDate" numFmtId="165">
      <sharedItems containsDate="1" containsMixedTypes="1" minDate="2024-02-05T00:00:00" maxDate="2024-10-06T00:00:00" count="15">
        <d v="2024-08-01T00:00:00"/>
        <s v="01-18-24"/>
        <d v="2024-05-02T00:00:00"/>
        <s v="02-22-2024"/>
        <d v="2024-03-03T00:00:00"/>
        <s v="03-15-2024"/>
        <s v="03-28-2024"/>
        <d v="2024-04-04T00:00:00"/>
        <s v="04-19-2024"/>
        <s v="04-25-2024"/>
        <d v="2024-02-05T00:00:00"/>
        <d v="2024-10-05T00:00:00"/>
        <s v="05-18-2024"/>
        <s v="05-22-2024"/>
        <s v="05-30-2024"/>
      </sharedItems>
    </cacheField>
    <cacheField name="Customer" numFmtId="0">
      <sharedItems/>
    </cacheField>
    <cacheField name="Region" numFmtId="0">
      <sharedItems count="4">
        <s v="North"/>
        <s v="South"/>
        <s v="East"/>
        <s v="West"/>
      </sharedItems>
    </cacheField>
    <cacheField name="Category" numFmtId="0">
      <sharedItems count="3">
        <s v="Electronics"/>
        <s v="Furniture"/>
        <s v="Clothing"/>
      </sharedItems>
    </cacheField>
    <cacheField name="Sales" numFmtId="0">
      <sharedItems containsSemiMixedTypes="0" containsString="0" containsNumber="1" containsInteger="1" minValue="600"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 MOHAMMAD REYAZ" refreshedDate="46082.683440972221" backgroundQuery="1" createdVersion="8" refreshedVersion="8" minRefreshableVersion="3" recordCount="0" supportSubquery="1" supportAdvancedDrill="1" xr:uid="{33443ECC-5207-4079-9A4D-4B62D3D6125D}">
  <cacheSource type="external" connectionId="1"/>
  <cacheFields count="4">
    <cacheField name="[Table2].[orderid2].[orderid2]" caption="orderid2" numFmtId="0" hierarchy="1" level="1">
      <sharedItems containsSemiMixedTypes="0" containsNonDate="0" containsDate="1" containsString="0" minDate="2024-01-08T00:00:00" maxDate="2024-01-09T00:00:00" count="1">
        <d v="2024-01-08T00:00:00"/>
      </sharedItems>
    </cacheField>
    <cacheField name="[Table2].[orderid2 (Month)].[orderid2 (Month)]" caption="orderid2 (Month)" numFmtId="0" hierarchy="6" level="1">
      <sharedItems count="4">
        <s v="Jan"/>
        <s v="Feb"/>
        <s v="Apr"/>
        <s v="May"/>
      </sharedItems>
    </cacheField>
    <cacheField name="[Measures].[Sum of Sales]" caption="Sum of Sales" numFmtId="0" hierarchy="10" level="32767"/>
    <cacheField name="[Table2].[Region].[Region]" caption="Region" numFmtId="0" hierarchy="3" level="1">
      <sharedItems containsSemiMixedTypes="0" containsNonDate="0" containsString="0"/>
    </cacheField>
  </cacheFields>
  <cacheHierarchies count="11">
    <cacheHierarchy uniqueName="[Table2].[OrderID]" caption="OrderID" attribute="1" defaultMemberUniqueName="[Table2].[OrderID].[All]" allUniqueName="[Table2].[OrderID].[All]" dimensionUniqueName="[Table2]" displayFolder="" count="2" memberValueDatatype="20" unbalanced="0"/>
    <cacheHierarchy uniqueName="[Table2].[orderid2]" caption="orderid2" attribute="1" time="1" defaultMemberUniqueName="[Table2].[orderid2].[All]" allUniqueName="[Table2].[orderid2].[All]" dimensionUniqueName="[Table2]" displayFolder="" count="2" memberValueDatatype="7" unbalanced="0">
      <fieldsUsage count="2">
        <fieldUsage x="-1"/>
        <fieldUsage x="0"/>
      </fieldsUsage>
    </cacheHierarchy>
    <cacheHierarchy uniqueName="[Table2].[Customer]" caption="Customer" attribute="1" defaultMemberUniqueName="[Table2].[Customer].[All]" allUniqueName="[Table2].[Customer].[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Sales]" caption="Sales" attribute="1" defaultMemberUniqueName="[Table2].[Sales].[All]" allUniqueName="[Table2].[Sales].[All]" dimensionUniqueName="[Table2]" displayFolder="" count="2" memberValueDatatype="20" unbalanced="0"/>
    <cacheHierarchy uniqueName="[Table2].[orderid2 (Month)]" caption="orderid2 (Month)" attribute="1" defaultMemberUniqueName="[Table2].[orderid2 (Month)].[All]" allUniqueName="[Table2].[orderid2 (Month)].[All]" dimensionUniqueName="[Table2]" displayFolder="" count="2" memberValueDatatype="130" unbalanced="0">
      <fieldsUsage count="2">
        <fieldUsage x="-1"/>
        <fieldUsage x="1"/>
      </fieldsUsage>
    </cacheHierarchy>
    <cacheHierarchy uniqueName="[Table2].[orderid2 (Month Index)]" caption="orderid2 (Month Index)" attribute="1" defaultMemberUniqueName="[Table2].[orderid2 (Month Index)].[All]" allUniqueName="[Table2].[orderid2 (Month Index)].[All]" dimensionUniqueName="[Table2]" displayFolder="" count="2"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K MOHAMMAD REYAZ" refreshedDate="46082.662548263892" backgroundQuery="1" createdVersion="3" refreshedVersion="8" minRefreshableVersion="3" recordCount="0" supportSubquery="1" supportAdvancedDrill="1" xr:uid="{98591C03-1F06-48DD-8180-38231BC485E7}">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Table2].[OrderID]" caption="OrderID" attribute="1" defaultMemberUniqueName="[Table2].[OrderID].[All]" allUniqueName="[Table2].[OrderID].[All]" dimensionUniqueName="[Table2]" displayFolder="" count="0" memberValueDatatype="20" unbalanced="0"/>
    <cacheHierarchy uniqueName="[Table2].[orderid2]" caption="orderid2" attribute="1" time="1" defaultMemberUniqueName="[Table2].[orderid2].[All]" allUniqueName="[Table2].[orderid2].[All]" dimensionUniqueName="[Table2]" displayFolder="" count="0" memberValueDatatype="7" unbalanced="0"/>
    <cacheHierarchy uniqueName="[Table2].[Customer]" caption="Customer" attribute="1" defaultMemberUniqueName="[Table2].[Customer].[All]" allUniqueName="[Table2].[Customer].[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ales]" caption="Sales" attribute="1" defaultMemberUniqueName="[Table2].[Sales].[All]" allUniqueName="[Table2].[Sales].[All]" dimensionUniqueName="[Table2]" displayFolder="" count="0" memberValueDatatype="20" unbalanced="0"/>
    <cacheHierarchy uniqueName="[Table2].[orderid2 (Month)]" caption="orderid2 (Month)" attribute="1" defaultMemberUniqueName="[Table2].[orderid2 (Month)].[All]" allUniqueName="[Table2].[orderid2 (Month)].[All]" dimensionUniqueName="[Table2]" displayFolder="" count="0" memberValueDatatype="130" unbalanced="0"/>
    <cacheHierarchy uniqueName="[Table2].[orderid2 (Month Index)]" caption="orderid2 (Month Index)" attribute="1" defaultMemberUniqueName="[Table2].[orderid2 (Month Index)].[All]" allUniqueName="[Table2].[orderid2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107198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s v="Asha"/>
    <x v="0"/>
    <x v="0"/>
    <n v="1200"/>
  </r>
  <r>
    <n v="1002"/>
    <x v="1"/>
    <s v="Ravi"/>
    <x v="1"/>
    <x v="1"/>
    <n v="800"/>
  </r>
  <r>
    <n v="1003"/>
    <x v="2"/>
    <s v="Meera"/>
    <x v="2"/>
    <x v="0"/>
    <n v="1500"/>
  </r>
  <r>
    <n v="1004"/>
    <x v="3"/>
    <s v="Arjun"/>
    <x v="0"/>
    <x v="2"/>
    <n v="600"/>
  </r>
  <r>
    <n v="1005"/>
    <x v="4"/>
    <s v="Priya"/>
    <x v="3"/>
    <x v="1"/>
    <n v="1100"/>
  </r>
  <r>
    <n v="1006"/>
    <x v="5"/>
    <s v="Sahil"/>
    <x v="1"/>
    <x v="0"/>
    <n v="900"/>
  </r>
  <r>
    <n v="1007"/>
    <x v="6"/>
    <s v="Kiran"/>
    <x v="2"/>
    <x v="2"/>
    <n v="700"/>
  </r>
  <r>
    <n v="1008"/>
    <x v="7"/>
    <s v="Asha"/>
    <x v="0"/>
    <x v="1"/>
    <n v="1300"/>
  </r>
  <r>
    <n v="1009"/>
    <x v="8"/>
    <s v="Ravi"/>
    <x v="3"/>
    <x v="0"/>
    <n v="1700"/>
  </r>
  <r>
    <n v="1010"/>
    <x v="9"/>
    <s v="Meera"/>
    <x v="1"/>
    <x v="2"/>
    <n v="650"/>
  </r>
  <r>
    <n v="1011"/>
    <x v="10"/>
    <s v="Arjun"/>
    <x v="0"/>
    <x v="0"/>
    <n v="2000"/>
  </r>
  <r>
    <n v="1012"/>
    <x v="11"/>
    <s v="Priya"/>
    <x v="2"/>
    <x v="1"/>
    <n v="950"/>
  </r>
  <r>
    <n v="1013"/>
    <x v="12"/>
    <s v="Sahil"/>
    <x v="3"/>
    <x v="2"/>
    <n v="1200"/>
  </r>
  <r>
    <n v="1014"/>
    <x v="13"/>
    <s v="Kiran"/>
    <x v="1"/>
    <x v="0"/>
    <n v="1800"/>
  </r>
  <r>
    <n v="1015"/>
    <x v="14"/>
    <s v="Asha"/>
    <x v="0"/>
    <x v="1"/>
    <n v="1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1940C-FFD5-47D5-84A2-FDCF769C5444}"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6">
    <pivotField showAll="0"/>
    <pivotField numFmtId="164" showAll="0"/>
    <pivotField showAll="0"/>
    <pivotField showAll="0"/>
    <pivotField axis="axisRow" showAll="0">
      <items count="4">
        <item x="2"/>
        <item x="0"/>
        <item x="1"/>
        <item t="default"/>
      </items>
    </pivotField>
    <pivotField dataField="1" showAll="0"/>
  </pivotFields>
  <rowFields count="1">
    <field x="4"/>
  </rowFields>
  <rowItems count="4">
    <i>
      <x/>
    </i>
    <i>
      <x v="1"/>
    </i>
    <i>
      <x v="2"/>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A60973-67CB-4CE0-9252-061C49A57ADF}" name="PivotTable7"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
    <pivotField axis="axisRow" allDrilled="1" subtotalTop="0" showAll="0" dataSourceSort="1" defaultSubtotal="0" defaultAttributeDrillState="1">
      <items count="1">
        <item x="0"/>
      </items>
    </pivotField>
    <pivotField axis="axisRow" allDrilled="1" subtotalTop="0" showAll="0" dataSourceSort="1" defaultSubtotal="0">
      <items count="4">
        <item x="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6">
    <i>
      <x/>
    </i>
    <i r="1">
      <x/>
    </i>
    <i>
      <x v="1"/>
    </i>
    <i>
      <x v="2"/>
    </i>
    <i>
      <x v="3"/>
    </i>
    <i t="grand">
      <x/>
    </i>
  </rowItems>
  <colItems count="1">
    <i/>
  </colItems>
  <dataFields count="1">
    <dataField name="Sum of Sales" fld="2" baseField="0" baseItem="0"/>
  </dataFields>
  <chartFormats count="1">
    <chartFormat chart="2" format="3"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multipleItemSelectionAllowed="1" dragToData="1">
      <members count="1" level="1">
        <member name="[Table2].[Region].&amp;[North]"/>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35E371-1118-41FF-9DBC-255CC588E2C3}"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6">
    <pivotField showAll="0"/>
    <pivotField numFmtId="164" showAll="0"/>
    <pivotField showAll="0"/>
    <pivotField axis="axisRow" showAll="0">
      <items count="5">
        <item x="2"/>
        <item x="0"/>
        <item x="1"/>
        <item x="3"/>
        <item t="default"/>
      </items>
    </pivotField>
    <pivotField showAll="0"/>
    <pivotField dataField="1" showAll="0"/>
  </pivotFields>
  <rowFields count="1">
    <field x="3"/>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44B458-AD1C-40FE-A053-4525F48E299C}" sourceName="[Table2].[Region]">
  <pivotTables>
    <pivotTable tabId="14" name="PivotTable7"/>
  </pivotTables>
  <data>
    <olap pivotCacheId="1710719817">
      <levels count="2">
        <level uniqueName="[Table2].[Region].[(All)]" sourceCaption="(All)" count="0"/>
        <level uniqueName="[Table2].[Region].[Region]" sourceCaption="Region" count="4" sortOrder="ascending">
          <ranges>
            <range startItem="0">
              <i n="[Table2].[Region].&amp;[East]" c="East"/>
              <i n="[Table2].[Region].&amp;[North]" c="North"/>
              <i n="[Table2].[Region].&amp;[South]" c="South"/>
              <i n="[Table2].[Region].&amp;[West]" c="West"/>
            </range>
          </ranges>
        </level>
      </levels>
      <selections count="1">
        <selection n="[Table2].[Region].&amp;[Nor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16F6EB-E643-4FD2-A29B-A20CF5F6861C}" cache="Slicer_Region" caption="Region" level="1" style="SlicerStyleLigh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CAA04D-9F08-4FC2-A7A3-755AAD2185F3}" name="Table2" displayName="Table2" ref="A1:F16" totalsRowShown="0" headerRowDxfId="7" dataDxfId="6">
  <autoFilter ref="A1:F16" xr:uid="{71CAA04D-9F08-4FC2-A7A3-755AAD2185F3}"/>
  <tableColumns count="6">
    <tableColumn id="1" xr3:uid="{9CF11C08-6B26-4DB9-9DA1-5B8ACC23E71E}" name="OrderID" dataDxfId="2"/>
    <tableColumn id="11" xr3:uid="{742A24CF-CAF4-412C-9CD0-A45C0E204C5D}" name="orderid2" dataDxfId="0"/>
    <tableColumn id="3" xr3:uid="{B7F3EAB7-6E26-4577-BC52-810F0747626D}" name="Customer" dataDxfId="1"/>
    <tableColumn id="4" xr3:uid="{1DB71EE7-F9DC-462E-8497-669AE0D5D2C1}" name="Region" dataDxfId="5"/>
    <tableColumn id="5" xr3:uid="{3B2A6D74-15B3-4C3C-92BC-A4B5A3678FD0}" name="Category" dataDxfId="4"/>
    <tableColumn id="6" xr3:uid="{BA528B7F-B5A5-4878-B3DF-4BA944C04119}" name="Sal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8A08-699A-49CA-BC89-EFA649BE8235}">
  <dimension ref="A3:B7"/>
  <sheetViews>
    <sheetView workbookViewId="0"/>
  </sheetViews>
  <sheetFormatPr defaultRowHeight="14.4" x14ac:dyDescent="0.3"/>
  <cols>
    <col min="1" max="1" width="12.5546875" bestFit="1" customWidth="1"/>
    <col min="2" max="2" width="11.6640625" bestFit="1" customWidth="1"/>
  </cols>
  <sheetData>
    <row r="3" spans="1:2" x14ac:dyDescent="0.3">
      <c r="A3" s="3" t="s">
        <v>19</v>
      </c>
      <c r="B3" t="s">
        <v>20</v>
      </c>
    </row>
    <row r="4" spans="1:2" x14ac:dyDescent="0.3">
      <c r="A4" s="4" t="s">
        <v>14</v>
      </c>
      <c r="B4" s="6">
        <v>3150</v>
      </c>
    </row>
    <row r="5" spans="1:2" x14ac:dyDescent="0.3">
      <c r="A5" s="4" t="s">
        <v>7</v>
      </c>
      <c r="B5" s="6">
        <v>9100</v>
      </c>
    </row>
    <row r="6" spans="1:2" x14ac:dyDescent="0.3">
      <c r="A6" s="4" t="s">
        <v>10</v>
      </c>
      <c r="B6" s="6">
        <v>5550</v>
      </c>
    </row>
    <row r="7" spans="1:2" x14ac:dyDescent="0.3">
      <c r="A7" s="4" t="s">
        <v>21</v>
      </c>
      <c r="B7" s="6">
        <v>17800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AAD0-D47B-416E-A6D6-3C6CE33CBB63}">
  <dimension ref="A3:B9"/>
  <sheetViews>
    <sheetView workbookViewId="0"/>
  </sheetViews>
  <sheetFormatPr defaultRowHeight="14.4" x14ac:dyDescent="0.3"/>
  <cols>
    <col min="1" max="1" width="14.33203125" bestFit="1" customWidth="1"/>
    <col min="2" max="2" width="11.6640625" bestFit="1" customWidth="1"/>
    <col min="3" max="6" width="5" bestFit="1" customWidth="1"/>
    <col min="7" max="7" width="10.77734375" bestFit="1" customWidth="1"/>
    <col min="8" max="16" width="10.33203125" bestFit="1" customWidth="1"/>
    <col min="17" max="17" width="10.77734375" bestFit="1" customWidth="1"/>
  </cols>
  <sheetData>
    <row r="3" spans="1:2" x14ac:dyDescent="0.3">
      <c r="A3" s="3" t="s">
        <v>19</v>
      </c>
      <c r="B3" t="s">
        <v>20</v>
      </c>
    </row>
    <row r="4" spans="1:2" x14ac:dyDescent="0.3">
      <c r="A4" s="4" t="s">
        <v>28</v>
      </c>
      <c r="B4" s="6"/>
    </row>
    <row r="5" spans="1:2" x14ac:dyDescent="0.3">
      <c r="A5" s="7">
        <v>45299</v>
      </c>
      <c r="B5" s="6">
        <v>1200</v>
      </c>
    </row>
    <row r="6" spans="1:2" x14ac:dyDescent="0.3">
      <c r="A6" s="4" t="s">
        <v>29</v>
      </c>
      <c r="B6" s="6">
        <v>600</v>
      </c>
    </row>
    <row r="7" spans="1:2" x14ac:dyDescent="0.3">
      <c r="A7" s="4" t="s">
        <v>30</v>
      </c>
      <c r="B7" s="6">
        <v>1300</v>
      </c>
    </row>
    <row r="8" spans="1:2" x14ac:dyDescent="0.3">
      <c r="A8" s="4" t="s">
        <v>31</v>
      </c>
      <c r="B8" s="6">
        <v>3400</v>
      </c>
    </row>
    <row r="9" spans="1:2" x14ac:dyDescent="0.3">
      <c r="A9" s="4" t="s">
        <v>21</v>
      </c>
      <c r="B9" s="6">
        <v>6500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62E9D-9C9D-405D-8930-90BADA452CE5}">
  <dimension ref="A1:F16"/>
  <sheetViews>
    <sheetView workbookViewId="0"/>
  </sheetViews>
  <sheetFormatPr defaultRowHeight="14.4" x14ac:dyDescent="0.3"/>
  <cols>
    <col min="1" max="1" width="11.21875" customWidth="1"/>
    <col min="2" max="2" width="15.33203125" style="9" customWidth="1"/>
    <col min="3" max="3" width="11.33203125" customWidth="1"/>
    <col min="4" max="4" width="12.88671875" customWidth="1"/>
    <col min="5" max="5" width="12.21875" customWidth="1"/>
  </cols>
  <sheetData>
    <row r="1" spans="1:6" x14ac:dyDescent="0.3">
      <c r="A1" s="1" t="s">
        <v>0</v>
      </c>
      <c r="B1" s="8" t="s">
        <v>27</v>
      </c>
      <c r="C1" s="1" t="s">
        <v>1</v>
      </c>
      <c r="D1" s="1" t="s">
        <v>2</v>
      </c>
      <c r="E1" s="1" t="s">
        <v>3</v>
      </c>
      <c r="F1" s="1" t="s">
        <v>4</v>
      </c>
    </row>
    <row r="2" spans="1:6" x14ac:dyDescent="0.3">
      <c r="A2" s="5">
        <v>1001</v>
      </c>
      <c r="B2" s="8">
        <v>45299</v>
      </c>
      <c r="C2" s="5" t="s">
        <v>5</v>
      </c>
      <c r="D2" s="5" t="s">
        <v>6</v>
      </c>
      <c r="E2" s="5" t="s">
        <v>7</v>
      </c>
      <c r="F2" s="5">
        <v>1200</v>
      </c>
    </row>
    <row r="3" spans="1:6" x14ac:dyDescent="0.3">
      <c r="A3" s="5">
        <v>1002</v>
      </c>
      <c r="B3" s="8">
        <v>45309</v>
      </c>
      <c r="C3" s="5" t="s">
        <v>8</v>
      </c>
      <c r="D3" s="5" t="s">
        <v>9</v>
      </c>
      <c r="E3" s="5" t="s">
        <v>10</v>
      </c>
      <c r="F3" s="5">
        <v>800</v>
      </c>
    </row>
    <row r="4" spans="1:6" x14ac:dyDescent="0.3">
      <c r="A4" s="5">
        <v>1003</v>
      </c>
      <c r="B4" s="8">
        <v>45327</v>
      </c>
      <c r="C4" s="5" t="s">
        <v>11</v>
      </c>
      <c r="D4" s="5" t="s">
        <v>12</v>
      </c>
      <c r="E4" s="5" t="s">
        <v>7</v>
      </c>
      <c r="F4" s="5">
        <v>1500</v>
      </c>
    </row>
    <row r="5" spans="1:6" x14ac:dyDescent="0.3">
      <c r="A5" s="5">
        <v>1004</v>
      </c>
      <c r="B5" s="8">
        <v>45344</v>
      </c>
      <c r="C5" s="5" t="s">
        <v>13</v>
      </c>
      <c r="D5" s="5" t="s">
        <v>6</v>
      </c>
      <c r="E5" s="5" t="s">
        <v>14</v>
      </c>
      <c r="F5" s="5">
        <v>600</v>
      </c>
    </row>
    <row r="6" spans="1:6" x14ac:dyDescent="0.3">
      <c r="A6" s="5">
        <v>1005</v>
      </c>
      <c r="B6" s="8">
        <v>45354</v>
      </c>
      <c r="C6" s="5" t="s">
        <v>15</v>
      </c>
      <c r="D6" s="5" t="s">
        <v>16</v>
      </c>
      <c r="E6" s="5" t="s">
        <v>10</v>
      </c>
      <c r="F6" s="5">
        <v>1100</v>
      </c>
    </row>
    <row r="7" spans="1:6" x14ac:dyDescent="0.3">
      <c r="A7" s="5">
        <v>1006</v>
      </c>
      <c r="B7" s="8">
        <v>45366</v>
      </c>
      <c r="C7" s="5" t="s">
        <v>17</v>
      </c>
      <c r="D7" s="5" t="s">
        <v>9</v>
      </c>
      <c r="E7" s="5" t="s">
        <v>7</v>
      </c>
      <c r="F7" s="5">
        <v>900</v>
      </c>
    </row>
    <row r="8" spans="1:6" x14ac:dyDescent="0.3">
      <c r="A8" s="5">
        <v>1007</v>
      </c>
      <c r="B8" s="8">
        <v>45379</v>
      </c>
      <c r="C8" s="5" t="s">
        <v>18</v>
      </c>
      <c r="D8" s="5" t="s">
        <v>12</v>
      </c>
      <c r="E8" s="5" t="s">
        <v>14</v>
      </c>
      <c r="F8" s="5">
        <v>700</v>
      </c>
    </row>
    <row r="9" spans="1:6" x14ac:dyDescent="0.3">
      <c r="A9" s="5">
        <v>1008</v>
      </c>
      <c r="B9" s="8">
        <v>45386</v>
      </c>
      <c r="C9" s="5" t="s">
        <v>5</v>
      </c>
      <c r="D9" s="5" t="s">
        <v>6</v>
      </c>
      <c r="E9" s="5" t="s">
        <v>10</v>
      </c>
      <c r="F9" s="5">
        <v>1300</v>
      </c>
    </row>
    <row r="10" spans="1:6" x14ac:dyDescent="0.3">
      <c r="A10" s="5">
        <v>1009</v>
      </c>
      <c r="B10" s="8">
        <v>45401</v>
      </c>
      <c r="C10" s="5" t="s">
        <v>8</v>
      </c>
      <c r="D10" s="5" t="s">
        <v>16</v>
      </c>
      <c r="E10" s="5" t="s">
        <v>7</v>
      </c>
      <c r="F10" s="5">
        <v>1700</v>
      </c>
    </row>
    <row r="11" spans="1:6" x14ac:dyDescent="0.3">
      <c r="A11" s="5">
        <v>1010</v>
      </c>
      <c r="B11" s="8">
        <v>45407</v>
      </c>
      <c r="C11" s="5" t="s">
        <v>11</v>
      </c>
      <c r="D11" s="5" t="s">
        <v>9</v>
      </c>
      <c r="E11" s="5" t="s">
        <v>14</v>
      </c>
      <c r="F11" s="5">
        <v>650</v>
      </c>
    </row>
    <row r="12" spans="1:6" x14ac:dyDescent="0.3">
      <c r="A12" s="5">
        <v>1011</v>
      </c>
      <c r="B12" s="8">
        <v>45414</v>
      </c>
      <c r="C12" s="5" t="s">
        <v>13</v>
      </c>
      <c r="D12" s="5" t="s">
        <v>6</v>
      </c>
      <c r="E12" s="5" t="s">
        <v>7</v>
      </c>
      <c r="F12" s="5">
        <v>2000</v>
      </c>
    </row>
    <row r="13" spans="1:6" x14ac:dyDescent="0.3">
      <c r="A13" s="5">
        <v>1012</v>
      </c>
      <c r="B13" s="8">
        <v>45422</v>
      </c>
      <c r="C13" s="5" t="s">
        <v>15</v>
      </c>
      <c r="D13" s="5" t="s">
        <v>12</v>
      </c>
      <c r="E13" s="5" t="s">
        <v>10</v>
      </c>
      <c r="F13" s="5">
        <v>950</v>
      </c>
    </row>
    <row r="14" spans="1:6" x14ac:dyDescent="0.3">
      <c r="A14" s="5">
        <v>1013</v>
      </c>
      <c r="B14" s="8">
        <v>45430</v>
      </c>
      <c r="C14" s="5" t="s">
        <v>17</v>
      </c>
      <c r="D14" s="5" t="s">
        <v>16</v>
      </c>
      <c r="E14" s="5" t="s">
        <v>14</v>
      </c>
      <c r="F14" s="5">
        <v>1200</v>
      </c>
    </row>
    <row r="15" spans="1:6" x14ac:dyDescent="0.3">
      <c r="A15" s="5">
        <v>1014</v>
      </c>
      <c r="B15" s="8">
        <v>45434</v>
      </c>
      <c r="C15" s="5" t="s">
        <v>18</v>
      </c>
      <c r="D15" s="5" t="s">
        <v>9</v>
      </c>
      <c r="E15" s="5" t="s">
        <v>7</v>
      </c>
      <c r="F15" s="5">
        <v>1800</v>
      </c>
    </row>
    <row r="16" spans="1:6" x14ac:dyDescent="0.3">
      <c r="A16" s="5">
        <v>1015</v>
      </c>
      <c r="B16" s="8">
        <v>45442</v>
      </c>
      <c r="C16" s="5" t="s">
        <v>5</v>
      </c>
      <c r="D16" s="5" t="s">
        <v>6</v>
      </c>
      <c r="E16" s="5" t="s">
        <v>10</v>
      </c>
      <c r="F16" s="5">
        <v>1400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46F1-4730-4FEC-9271-CD67A15E3CC9}">
  <sheetPr>
    <pageSetUpPr autoPageBreaks="0"/>
  </sheetPr>
  <dimension ref="A1:I42"/>
  <sheetViews>
    <sheetView showGridLines="0" tabSelected="1" zoomScale="64" zoomScaleNormal="100" workbookViewId="0"/>
  </sheetViews>
  <sheetFormatPr defaultRowHeight="14.4" x14ac:dyDescent="0.3"/>
  <cols>
    <col min="1" max="1" width="15" customWidth="1"/>
    <col min="3" max="3" width="17.88671875" customWidth="1"/>
    <col min="5" max="5" width="22.5546875" customWidth="1"/>
    <col min="7" max="7" width="11.88671875" customWidth="1"/>
    <col min="9" max="9" width="14.77734375" customWidth="1"/>
  </cols>
  <sheetData>
    <row r="1" spans="1:9" ht="23.4" x14ac:dyDescent="0.45">
      <c r="A1" s="2" t="s">
        <v>22</v>
      </c>
      <c r="B1" s="2"/>
      <c r="C1" s="2"/>
      <c r="D1" s="2"/>
      <c r="E1" s="2"/>
      <c r="F1" s="2"/>
      <c r="G1" s="2"/>
      <c r="H1" s="2"/>
    </row>
    <row r="3" spans="1:9" ht="23.4" x14ac:dyDescent="0.45">
      <c r="A3" s="2" t="s">
        <v>23</v>
      </c>
      <c r="C3" s="2" t="s">
        <v>24</v>
      </c>
      <c r="E3" s="2" t="s">
        <v>25</v>
      </c>
      <c r="I3" s="2" t="s">
        <v>26</v>
      </c>
    </row>
    <row r="4" spans="1:9" ht="23.4" x14ac:dyDescent="0.45">
      <c r="A4" s="10">
        <f>SUM(Table2[Sales])</f>
        <v>17800</v>
      </c>
      <c r="C4" s="10">
        <f>COUNT(Table2[OrderID])</f>
        <v>15</v>
      </c>
      <c r="E4" s="11">
        <f>AVERAGE(Table2[Sales])</f>
        <v>1186.6666666666667</v>
      </c>
      <c r="I4" s="10" t="s">
        <v>6</v>
      </c>
    </row>
    <row r="36" spans="1:1" ht="23.4" x14ac:dyDescent="0.45">
      <c r="A36" s="12"/>
    </row>
    <row r="42" spans="1:1" ht="21" x14ac:dyDescent="0.4">
      <c r="A42" s="13" t="s">
        <v>32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4ACE-C73C-4A18-961B-AEFC39E977CD}">
  <dimension ref="A3:B8"/>
  <sheetViews>
    <sheetView workbookViewId="0"/>
  </sheetViews>
  <sheetFormatPr defaultRowHeight="14.4" x14ac:dyDescent="0.3"/>
  <cols>
    <col min="1" max="1" width="12.5546875" bestFit="1" customWidth="1"/>
    <col min="2" max="2" width="11.6640625" bestFit="1" customWidth="1"/>
  </cols>
  <sheetData>
    <row r="3" spans="1:2" x14ac:dyDescent="0.3">
      <c r="A3" s="3" t="s">
        <v>19</v>
      </c>
      <c r="B3" t="s">
        <v>20</v>
      </c>
    </row>
    <row r="4" spans="1:2" x14ac:dyDescent="0.3">
      <c r="A4" s="4" t="s">
        <v>12</v>
      </c>
      <c r="B4" s="6">
        <v>3150</v>
      </c>
    </row>
    <row r="5" spans="1:2" x14ac:dyDescent="0.3">
      <c r="A5" s="4" t="s">
        <v>6</v>
      </c>
      <c r="B5" s="6">
        <v>6500</v>
      </c>
    </row>
    <row r="6" spans="1:2" x14ac:dyDescent="0.3">
      <c r="A6" s="4" t="s">
        <v>9</v>
      </c>
      <c r="B6" s="6">
        <v>4150</v>
      </c>
    </row>
    <row r="7" spans="1:2" x14ac:dyDescent="0.3">
      <c r="A7" s="4" t="s">
        <v>16</v>
      </c>
      <c r="B7" s="6">
        <v>4000</v>
      </c>
    </row>
    <row r="8" spans="1:2" x14ac:dyDescent="0.3">
      <c r="A8" s="4" t="s">
        <v>21</v>
      </c>
      <c r="B8" s="6">
        <v>17800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 pivot table</vt:lpstr>
      <vt:lpstr>pivot table 2</vt:lpstr>
      <vt:lpstr>data</vt:lpstr>
      <vt:lpstr>dashboard</vt:lpstr>
      <vt:lpstr>pivot</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REYAZ SHAIK</dc:creator>
  <cp:lastModifiedBy>MOHAMMAD REYAZ SHAIK</cp:lastModifiedBy>
  <dcterms:created xsi:type="dcterms:W3CDTF">2026-03-01T21:04:03Z</dcterms:created>
  <dcterms:modified xsi:type="dcterms:W3CDTF">2026-03-02T04:00:07Z</dcterms:modified>
</cp:coreProperties>
</file>