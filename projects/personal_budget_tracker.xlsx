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 MOHAMMAD REYAZ\Downloads\"/>
    </mc:Choice>
  </mc:AlternateContent>
  <xr:revisionPtr revIDLastSave="0" documentId="13_ncr:1_{376E469C-8C32-4342-BBD8-4A899D684588}" xr6:coauthVersionLast="47" xr6:coauthVersionMax="47" xr10:uidLastSave="{00000000-0000-0000-0000-000000000000}"/>
  <bookViews>
    <workbookView xWindow="-108" yWindow="-108" windowWidth="23256" windowHeight="13176" activeTab="3" xr2:uid="{94B0D01D-52EA-4984-B498-3646AB5063BB}"/>
  </bookViews>
  <sheets>
    <sheet name="pivots" sheetId="3" r:id="rId1"/>
    <sheet name="pivots2" sheetId="4" r:id="rId2"/>
    <sheet name="Data" sheetId="1" r:id="rId3"/>
    <sheet name="Dashboard" sheetId="2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A4" i="2"/>
  <c r="C4" i="2"/>
</calcChain>
</file>

<file path=xl/sharedStrings.xml><?xml version="1.0" encoding="utf-8"?>
<sst xmlns="http://schemas.openxmlformats.org/spreadsheetml/2006/main" count="62" uniqueCount="36">
  <si>
    <t>Date</t>
  </si>
  <si>
    <t>Category</t>
  </si>
  <si>
    <t>Description</t>
  </si>
  <si>
    <t>Amount</t>
  </si>
  <si>
    <t>Type</t>
  </si>
  <si>
    <t>Salary</t>
  </si>
  <si>
    <t>January Salary</t>
  </si>
  <si>
    <t>Income</t>
  </si>
  <si>
    <t>Rent</t>
  </si>
  <si>
    <t>House Rent</t>
  </si>
  <si>
    <t>Expense</t>
  </si>
  <si>
    <t>Food</t>
  </si>
  <si>
    <t>Groceries</t>
  </si>
  <si>
    <t>Transport</t>
  </si>
  <si>
    <t>Fuel</t>
  </si>
  <si>
    <t>Freelance</t>
  </si>
  <si>
    <t>Website Project</t>
  </si>
  <si>
    <t>Entertainment</t>
  </si>
  <si>
    <t>Movie &amp; Dining</t>
  </si>
  <si>
    <t>Shopping</t>
  </si>
  <si>
    <t>Clothes</t>
  </si>
  <si>
    <t>Utilities</t>
  </si>
  <si>
    <t>Electricity Bill</t>
  </si>
  <si>
    <t>Restaurant</t>
  </si>
  <si>
    <t>Investment</t>
  </si>
  <si>
    <t>Mutual Fund SIP</t>
  </si>
  <si>
    <t>Bonus</t>
  </si>
  <si>
    <t>Performance Bonus</t>
  </si>
  <si>
    <t>Uber</t>
  </si>
  <si>
    <t>Total Income</t>
  </si>
  <si>
    <t>Total Expense</t>
  </si>
  <si>
    <t>Net Savings</t>
  </si>
  <si>
    <t>Row Labels</t>
  </si>
  <si>
    <t>Grand Total</t>
  </si>
  <si>
    <t>Sum of Amount</t>
  </si>
  <si>
    <t>Expenses are primarily driven by Rent and Shopping. Net savings remain positive, indicating controlled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</si>
</sst>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₹&quot;\ 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6" tint="-0.249977111117893"/>
      <name val="Calibri"/>
      <family val="2"/>
      <scheme val="minor"/>
    </font>
    <font>
      <b/>
      <sz val="20"/>
      <color theme="6" tint="-0.249977111117893"/>
      <name val="Calibri"/>
      <family val="2"/>
      <scheme val="minor"/>
    </font>
    <font>
      <sz val="10"/>
      <color theme="1"/>
      <name val="Italic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0" applyFont="1" applyFill="1" applyBorder="1"/>
    <xf numFmtId="0" fontId="4" fillId="0" borderId="0" xfId="0" applyFont="1"/>
    <xf numFmtId="172" fontId="2" fillId="0" borderId="0" xfId="0" applyNumberFormat="1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[personal_budget_tracker.xlsx]pivots!PivotTable1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Distribution by Category</a:t>
            </a:r>
          </a:p>
        </c:rich>
      </c:tx>
      <c:layout>
        <c:manualLayout>
          <c:xMode val="edge"/>
          <c:yMode val="edge"/>
          <c:x val="0.2309991245686881"/>
          <c:y val="2.0544554722389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A3-4B4F-B1BE-4FA216C60A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A3-4B4F-B1BE-4FA216C60A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A3-4B4F-B1BE-4FA216C60A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A3-4B4F-B1BE-4FA216C60A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A3-4B4F-B1BE-4FA216C60A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0A3-4B4F-B1BE-4FA216C60A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0A3-4B4F-B1BE-4FA216C60A60}"/>
              </c:ext>
            </c:extLst>
          </c:dPt>
          <c:cat>
            <c:strRef>
              <c:f>pivots!$A$4:$A$11</c:f>
              <c:strCache>
                <c:ptCount val="7"/>
                <c:pt idx="0">
                  <c:v>Entertainment</c:v>
                </c:pt>
                <c:pt idx="1">
                  <c:v>Food</c:v>
                </c:pt>
                <c:pt idx="2">
                  <c:v>Investment</c:v>
                </c:pt>
                <c:pt idx="3">
                  <c:v>Rent</c:v>
                </c:pt>
                <c:pt idx="4">
                  <c:v>Shopping</c:v>
                </c:pt>
                <c:pt idx="5">
                  <c:v>Transport</c:v>
                </c:pt>
                <c:pt idx="6">
                  <c:v>Utilities</c:v>
                </c:pt>
              </c:strCache>
            </c:strRef>
          </c:cat>
          <c:val>
            <c:numRef>
              <c:f>pivots!$B$4:$B$11</c:f>
              <c:numCache>
                <c:formatCode>General</c:formatCode>
                <c:ptCount val="7"/>
                <c:pt idx="0">
                  <c:v>2500</c:v>
                </c:pt>
                <c:pt idx="1">
                  <c:v>6200</c:v>
                </c:pt>
                <c:pt idx="2">
                  <c:v>5000</c:v>
                </c:pt>
                <c:pt idx="3">
                  <c:v>15000</c:v>
                </c:pt>
                <c:pt idx="4">
                  <c:v>6000</c:v>
                </c:pt>
                <c:pt idx="5">
                  <c:v>4200</c:v>
                </c:pt>
                <c:pt idx="6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0A3-4B4F-B1BE-4FA216C60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[personal_budget_tracker.xlsx]pivots2!PivotTable2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pivots2!$A$4:$A$6</c:f>
              <c:strCache>
                <c:ptCount val="2"/>
                <c:pt idx="0">
                  <c:v>Expense</c:v>
                </c:pt>
                <c:pt idx="1">
                  <c:v>Income</c:v>
                </c:pt>
              </c:strCache>
            </c:strRef>
          </c:cat>
          <c:val>
            <c:numRef>
              <c:f>pivots2!$B$4:$B$6</c:f>
              <c:numCache>
                <c:formatCode>General</c:formatCode>
                <c:ptCount val="2"/>
                <c:pt idx="0">
                  <c:v>42400</c:v>
                </c:pt>
                <c:pt idx="1">
                  <c:v>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7-4E46-883C-BF57ACBAE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762384"/>
        <c:axId val="773769584"/>
      </c:barChart>
      <c:catAx>
        <c:axId val="7737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69584"/>
        <c:crosses val="autoZero"/>
        <c:auto val="1"/>
        <c:lblAlgn val="ctr"/>
        <c:lblOffset val="100"/>
        <c:noMultiLvlLbl val="0"/>
      </c:catAx>
      <c:valAx>
        <c:axId val="7737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339686</xdr:colOff>
      <xdr:row>8</xdr:row>
      <xdr:rowOff>18362</xdr:rowOff>
    </xdr:from>
    <xdr:to>
      <xdr:col>7</xdr:col>
      <xdr:colOff>55083</xdr:colOff>
      <xdr:row>28</xdr:row>
      <xdr:rowOff>55085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26D79-A16A-41C0-A238-0A1CD7DAF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91808</xdr:colOff>
      <xdr:row>7</xdr:row>
      <xdr:rowOff>146891</xdr:rowOff>
    </xdr:from>
    <xdr:to>
      <xdr:col>18</xdr:col>
      <xdr:colOff>330506</xdr:colOff>
      <xdr:row>28</xdr:row>
      <xdr:rowOff>36723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F7B651-F47B-4D51-A226-D695A186C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 MOHAMMAD REYAZ" refreshedDate="46083.574197685186" createdVersion="8" refreshedVersion="8" minRefreshableVersion="3" recordCount="12" xr:uid="{A5BFCBFC-12F7-459C-A001-4A9A131DF1E0}">
  <cacheSource type="worksheet">
    <worksheetSource name="budgetdata"/>
  </cacheSource>
  <cacheFields count="5">
    <cacheField name="Date" numFmtId="14">
      <sharedItems containsSemiMixedTypes="0" containsNonDate="0" containsDate="1" containsString="0" minDate="2024-01-01T00:00:00" maxDate="2024-01-29T00:00:00"/>
    </cacheField>
    <cacheField name="Category" numFmtId="0">
      <sharedItems count="10">
        <s v="Salary"/>
        <s v="Rent"/>
        <s v="Food"/>
        <s v="Transport"/>
        <s v="Freelance"/>
        <s v="Entertainment"/>
        <s v="Shopping"/>
        <s v="Utilities"/>
        <s v="Investment"/>
        <s v="Bonus"/>
      </sharedItems>
    </cacheField>
    <cacheField name="Description" numFmtId="0">
      <sharedItems/>
    </cacheField>
    <cacheField name="Amount" numFmtId="0">
      <sharedItems containsSemiMixedTypes="0" containsString="0" containsNumber="1" containsInteger="1" minValue="1200" maxValue="50000"/>
    </cacheField>
    <cacheField name="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 pivotCacheId="4228243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4-01-01T00:00:00"/>
    <x v="0"/>
    <s v="January Salary"/>
    <n v="50000"/>
    <x v="0"/>
  </r>
  <r>
    <d v="2024-01-03T00:00:00"/>
    <x v="1"/>
    <s v="House Rent"/>
    <n v="15000"/>
    <x v="1"/>
  </r>
  <r>
    <d v="2024-01-05T00:00:00"/>
    <x v="2"/>
    <s v="Groceries"/>
    <n v="4000"/>
    <x v="1"/>
  </r>
  <r>
    <d v="2024-01-08T00:00:00"/>
    <x v="3"/>
    <s v="Fuel"/>
    <n v="3000"/>
    <x v="1"/>
  </r>
  <r>
    <d v="2024-01-10T00:00:00"/>
    <x v="4"/>
    <s v="Website Project"/>
    <n v="10000"/>
    <x v="0"/>
  </r>
  <r>
    <d v="2024-01-12T00:00:00"/>
    <x v="5"/>
    <s v="Movie &amp; Dining"/>
    <n v="2500"/>
    <x v="1"/>
  </r>
  <r>
    <d v="2024-01-15T00:00:00"/>
    <x v="6"/>
    <s v="Clothes"/>
    <n v="6000"/>
    <x v="1"/>
  </r>
  <r>
    <d v="2024-01-18T00:00:00"/>
    <x v="7"/>
    <s v="Electricity Bill"/>
    <n v="3500"/>
    <x v="1"/>
  </r>
  <r>
    <d v="2024-01-20T00:00:00"/>
    <x v="2"/>
    <s v="Restaurant"/>
    <n v="2200"/>
    <x v="1"/>
  </r>
  <r>
    <d v="2024-01-22T00:00:00"/>
    <x v="8"/>
    <s v="Mutual Fund SIP"/>
    <n v="5000"/>
    <x v="1"/>
  </r>
  <r>
    <d v="2024-01-25T00:00:00"/>
    <x v="9"/>
    <s v="Performance Bonus"/>
    <n v="8000"/>
    <x v="0"/>
  </r>
  <r>
    <d v="2024-01-28T00:00:00"/>
    <x v="3"/>
    <s v="Uber"/>
    <n v="12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80981-4BB7-4EE6-809E-7F97107240D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 rowPageCount="1" colPageCount="1"/>
  <pivotFields count="5">
    <pivotField numFmtId="14" showAll="0"/>
    <pivotField axis="axisRow" showAll="0">
      <items count="11">
        <item x="9"/>
        <item x="5"/>
        <item x="2"/>
        <item x="4"/>
        <item x="8"/>
        <item x="1"/>
        <item x="0"/>
        <item x="6"/>
        <item x="3"/>
        <item x="7"/>
        <item t="default"/>
      </items>
    </pivotField>
    <pivotField showAll="0"/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1"/>
  </rowFields>
  <rowItems count="8">
    <i>
      <x v="1"/>
    </i>
    <i>
      <x v="2"/>
    </i>
    <i>
      <x v="4"/>
    </i>
    <i>
      <x v="5"/>
    </i>
    <i>
      <x v="7"/>
    </i>
    <i>
      <x v="8"/>
    </i>
    <i>
      <x v="9"/>
    </i>
    <i t="grand">
      <x/>
    </i>
  </rowItems>
  <colItems count="1">
    <i/>
  </colItems>
  <pageFields count="1">
    <pageField fld="4" hier="-1"/>
  </pageFields>
  <dataFields count="1">
    <dataField name="Sum of Amount" fld="3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0595F-5712-4D57-AC97-2C1FA5273D2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5">
    <pivotField numFmtId="14" showAll="0"/>
    <pivotField showAll="0"/>
    <pivotField showAll="0"/>
    <pivotField dataField="1" showAll="0"/>
    <pivotField axis="axisRow" showAll="0" sortType="ascending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333D6-EB66-41C7-9110-42C4D47241E8}" name="budgetdata" displayName="budgetdata" ref="A1:E13" totalsRowShown="0" headerRowDxfId="0" dataDxfId="1">
  <autoFilter ref="A1:E13" xr:uid="{537333D6-EB66-41C7-9110-42C4D47241E8}"/>
  <tableColumns count="5">
    <tableColumn id="1" xr3:uid="{12AEDBE3-7FB7-4466-87E6-5DFC2DE765AD}" name="Date" dataDxfId="6"/>
    <tableColumn id="2" xr3:uid="{65DA02D6-48E5-4832-8A92-E7AB0858028A}" name="Category" dataDxfId="5"/>
    <tableColumn id="3" xr3:uid="{15825253-844A-40EE-83A8-1620F354C445}" name="Description" dataDxfId="4"/>
    <tableColumn id="4" xr3:uid="{15DED70E-35DB-4FB9-A8E0-68506DD4070B}" name="Amount" dataDxfId="3"/>
    <tableColumn id="5" xr3:uid="{DE89F431-C76E-4819-AD4D-52C7AFC51C3D}" name="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200C-704A-4D49-AEC9-E5F6864CF3F0}">
  <dimension ref="A1:B11"/>
  <sheetViews>
    <sheetView workbookViewId="0">
      <selection activeCell="B4" sqref="B4"/>
    </sheetView>
  </sheetViews>
  <sheetFormatPr defaultRowHeight="14.4"/>
  <cols>
    <col min="1" max="1" width="12.6640625" bestFit="1" customWidth="1"/>
    <col min="2" max="2" width="14.44140625" bestFit="1" customWidth="1"/>
  </cols>
  <sheetData>
    <row r="1" spans="1:2">
      <c r="A1" s="4" t="s">
        <v>4</v>
      </c>
      <c r="B1" t="s">
        <v>10</v>
      </c>
    </row>
    <row r="3" spans="1:2">
      <c r="A3" s="4" t="s">
        <v>32</v>
      </c>
      <c r="B3" t="s">
        <v>34</v>
      </c>
    </row>
    <row r="4" spans="1:2">
      <c r="A4" s="5" t="s">
        <v>17</v>
      </c>
      <c r="B4" s="6">
        <v>2500</v>
      </c>
    </row>
    <row r="5" spans="1:2">
      <c r="A5" s="5" t="s">
        <v>11</v>
      </c>
      <c r="B5" s="6">
        <v>6200</v>
      </c>
    </row>
    <row r="6" spans="1:2">
      <c r="A6" s="5" t="s">
        <v>24</v>
      </c>
      <c r="B6" s="6">
        <v>5000</v>
      </c>
    </row>
    <row r="7" spans="1:2">
      <c r="A7" s="5" t="s">
        <v>8</v>
      </c>
      <c r="B7" s="6">
        <v>15000</v>
      </c>
    </row>
    <row r="8" spans="1:2">
      <c r="A8" s="5" t="s">
        <v>19</v>
      </c>
      <c r="B8" s="6">
        <v>6000</v>
      </c>
    </row>
    <row r="9" spans="1:2">
      <c r="A9" s="5" t="s">
        <v>13</v>
      </c>
      <c r="B9" s="6">
        <v>4200</v>
      </c>
    </row>
    <row r="10" spans="1:2">
      <c r="A10" s="5" t="s">
        <v>21</v>
      </c>
      <c r="B10" s="6">
        <v>3500</v>
      </c>
    </row>
    <row r="11" spans="1:2">
      <c r="A11" s="5" t="s">
        <v>33</v>
      </c>
      <c r="B11" s="6">
        <v>42400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C4A3-DCFA-42D0-B7BB-037B843855A4}">
  <dimension ref="A3:B6"/>
  <sheetViews>
    <sheetView workbookViewId="0">
      <selection activeCell="J9" activeCellId="1" sqref="P11 J9"/>
    </sheetView>
  </sheetViews>
  <sheetFormatPr defaultRowHeight="14.4"/>
  <cols>
    <col min="1" max="1" width="12.5546875" bestFit="1" customWidth="1"/>
    <col min="2" max="2" width="14.44140625" bestFit="1" customWidth="1"/>
  </cols>
  <sheetData>
    <row r="3" spans="1:2">
      <c r="A3" s="4" t="s">
        <v>32</v>
      </c>
      <c r="B3" t="s">
        <v>34</v>
      </c>
    </row>
    <row r="4" spans="1:2">
      <c r="A4" s="5" t="s">
        <v>10</v>
      </c>
      <c r="B4" s="6">
        <v>42400</v>
      </c>
    </row>
    <row r="5" spans="1:2">
      <c r="A5" s="5" t="s">
        <v>7</v>
      </c>
      <c r="B5" s="6">
        <v>68000</v>
      </c>
    </row>
    <row r="6" spans="1:2">
      <c r="A6" s="5" t="s">
        <v>33</v>
      </c>
      <c r="B6" s="6">
        <v>110400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6172-A7B3-4A35-BE16-61088C5F83DD}">
  <dimension ref="A1:E13"/>
  <sheetViews>
    <sheetView workbookViewId="0">
      <selection sqref="A1:E1"/>
    </sheetView>
  </sheetViews>
  <sheetFormatPr defaultRowHeight="14.4"/>
  <cols>
    <col min="1" max="1" width="12" customWidth="1"/>
    <col min="2" max="2" width="12.5546875" customWidth="1"/>
    <col min="3" max="3" width="16.88671875" customWidth="1"/>
    <col min="4" max="4" width="11.109375" customWidth="1"/>
    <col min="5" max="5" width="11.88671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>
        <v>45292</v>
      </c>
      <c r="B2" s="1" t="s">
        <v>5</v>
      </c>
      <c r="C2" s="1" t="s">
        <v>6</v>
      </c>
      <c r="D2" s="1">
        <v>50000</v>
      </c>
      <c r="E2" s="1" t="s">
        <v>7</v>
      </c>
    </row>
    <row r="3" spans="1:5">
      <c r="A3" s="2">
        <v>45294</v>
      </c>
      <c r="B3" s="1" t="s">
        <v>8</v>
      </c>
      <c r="C3" s="1" t="s">
        <v>9</v>
      </c>
      <c r="D3" s="1">
        <v>15000</v>
      </c>
      <c r="E3" s="1" t="s">
        <v>10</v>
      </c>
    </row>
    <row r="4" spans="1:5">
      <c r="A4" s="2">
        <v>45296</v>
      </c>
      <c r="B4" s="1" t="s">
        <v>11</v>
      </c>
      <c r="C4" s="1" t="s">
        <v>12</v>
      </c>
      <c r="D4" s="1">
        <v>4000</v>
      </c>
      <c r="E4" s="1" t="s">
        <v>10</v>
      </c>
    </row>
    <row r="5" spans="1:5">
      <c r="A5" s="2">
        <v>45299</v>
      </c>
      <c r="B5" s="1" t="s">
        <v>13</v>
      </c>
      <c r="C5" s="1" t="s">
        <v>14</v>
      </c>
      <c r="D5" s="1">
        <v>3000</v>
      </c>
      <c r="E5" s="1" t="s">
        <v>10</v>
      </c>
    </row>
    <row r="6" spans="1:5">
      <c r="A6" s="2">
        <v>45301</v>
      </c>
      <c r="B6" s="1" t="s">
        <v>15</v>
      </c>
      <c r="C6" s="1" t="s">
        <v>16</v>
      </c>
      <c r="D6" s="1">
        <v>10000</v>
      </c>
      <c r="E6" s="1" t="s">
        <v>7</v>
      </c>
    </row>
    <row r="7" spans="1:5">
      <c r="A7" s="2">
        <v>45303</v>
      </c>
      <c r="B7" s="1" t="s">
        <v>17</v>
      </c>
      <c r="C7" s="1" t="s">
        <v>18</v>
      </c>
      <c r="D7" s="1">
        <v>2500</v>
      </c>
      <c r="E7" s="1" t="s">
        <v>10</v>
      </c>
    </row>
    <row r="8" spans="1:5">
      <c r="A8" s="2">
        <v>45306</v>
      </c>
      <c r="B8" s="1" t="s">
        <v>19</v>
      </c>
      <c r="C8" s="1" t="s">
        <v>20</v>
      </c>
      <c r="D8" s="1">
        <v>6000</v>
      </c>
      <c r="E8" s="1" t="s">
        <v>10</v>
      </c>
    </row>
    <row r="9" spans="1:5">
      <c r="A9" s="2">
        <v>45309</v>
      </c>
      <c r="B9" s="1" t="s">
        <v>21</v>
      </c>
      <c r="C9" s="1" t="s">
        <v>22</v>
      </c>
      <c r="D9" s="1">
        <v>3500</v>
      </c>
      <c r="E9" s="1" t="s">
        <v>10</v>
      </c>
    </row>
    <row r="10" spans="1:5">
      <c r="A10" s="2">
        <v>45311</v>
      </c>
      <c r="B10" s="1" t="s">
        <v>11</v>
      </c>
      <c r="C10" s="1" t="s">
        <v>23</v>
      </c>
      <c r="D10" s="1">
        <v>2200</v>
      </c>
      <c r="E10" s="1" t="s">
        <v>10</v>
      </c>
    </row>
    <row r="11" spans="1:5">
      <c r="A11" s="2">
        <v>45313</v>
      </c>
      <c r="B11" s="1" t="s">
        <v>24</v>
      </c>
      <c r="C11" s="1" t="s">
        <v>25</v>
      </c>
      <c r="D11" s="1">
        <v>5000</v>
      </c>
      <c r="E11" s="1" t="s">
        <v>10</v>
      </c>
    </row>
    <row r="12" spans="1:5">
      <c r="A12" s="2">
        <v>45316</v>
      </c>
      <c r="B12" s="1" t="s">
        <v>26</v>
      </c>
      <c r="C12" s="1" t="s">
        <v>27</v>
      </c>
      <c r="D12" s="1">
        <v>8000</v>
      </c>
      <c r="E12" s="1" t="s">
        <v>7</v>
      </c>
    </row>
    <row r="13" spans="1:5">
      <c r="A13" s="2">
        <v>45319</v>
      </c>
      <c r="B13" s="1" t="s">
        <v>13</v>
      </c>
      <c r="C13" s="1" t="s">
        <v>28</v>
      </c>
      <c r="D13" s="1">
        <v>1200</v>
      </c>
      <c r="E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AB84-9AC6-4B7C-8E1D-4470FFDBF8A8}">
  <sheetPr>
    <pageSetUpPr autoPageBreaks="0"/>
  </sheetPr>
  <dimension ref="A3:E33"/>
  <sheetViews>
    <sheetView showGridLines="0" tabSelected="1" zoomScale="83" zoomScaleNormal="83" workbookViewId="0">
      <selection activeCell="J3" sqref="J3"/>
    </sheetView>
  </sheetViews>
  <sheetFormatPr defaultRowHeight="14.4"/>
  <cols>
    <col min="1" max="1" width="21.5546875" customWidth="1"/>
    <col min="3" max="3" width="23" customWidth="1"/>
    <col min="5" max="5" width="19.33203125" customWidth="1"/>
  </cols>
  <sheetData>
    <row r="3" spans="1:5" ht="25.8">
      <c r="A3" s="7" t="s">
        <v>29</v>
      </c>
      <c r="C3" s="7" t="s">
        <v>30</v>
      </c>
      <c r="E3" s="7" t="s">
        <v>31</v>
      </c>
    </row>
    <row r="4" spans="1:5" ht="23.4">
      <c r="A4" s="9">
        <f>SUMIF(budgetdata[Type],"Income",budgetdata[Amount])</f>
        <v>68000</v>
      </c>
      <c r="C4" s="9">
        <f>SUMIF(budgetdata[Type],"Expense",budgetdata[Amount])</f>
        <v>42400</v>
      </c>
      <c r="E4" s="9">
        <f>A4-C4</f>
        <v>25600</v>
      </c>
    </row>
    <row r="33" spans="1:1">
      <c r="A33" s="8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pivots</vt:lpstr>
      <vt:lpstr>pivots2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REYAZ SHAIK</dc:creator>
  <cp:lastModifiedBy>MOHAMMAD REYAZ SHAIK</cp:lastModifiedBy>
  <dcterms:created xsi:type="dcterms:W3CDTF">2026-03-02T21:28:34Z</dcterms:created>
  <dcterms:modified xsi:type="dcterms:W3CDTF">2026-03-02T22:18:29Z</dcterms:modified>
</cp:coreProperties>
</file>